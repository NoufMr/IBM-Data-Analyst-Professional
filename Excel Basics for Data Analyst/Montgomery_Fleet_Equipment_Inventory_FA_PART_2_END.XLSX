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ِِAsus\Desktop\Excel project\Done\"/>
    </mc:Choice>
  </mc:AlternateContent>
  <xr:revisionPtr revIDLastSave="0" documentId="13_ncr:1_{8A83AB72-3838-4B27-B9F1-81585C60DE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gomery_Fleet_Equipment_Inve" sheetId="1" r:id="rId1"/>
    <sheet name="PivotTable1" sheetId="2" r:id="rId2"/>
    <sheet name="PivotTable2" sheetId="3" r:id="rId3"/>
    <sheet name="PivotTable3" sheetId="4" r:id="rId4"/>
  </sheets>
  <definedNames>
    <definedName name="_xlnm._FilterDatabase" localSheetId="0" hidden="1">Montgomery_Fleet_Equipment_Inve!$A$1:$C$50</definedName>
  </definedNames>
  <calcPr calcId="181029"/>
  <pivotCaches>
    <pivotCache cacheId="0" r:id="rId5"/>
  </pivotCaches>
</workbook>
</file>

<file path=xl/calcChain.xml><?xml version="1.0" encoding="utf-8"?>
<calcChain xmlns="http://schemas.openxmlformats.org/spreadsheetml/2006/main">
  <c r="G4" i="1" l="1"/>
  <c r="G8" i="1"/>
  <c r="G7" i="1"/>
  <c r="G6" i="1"/>
  <c r="G5" i="1"/>
</calcChain>
</file>

<file path=xl/sharedStrings.xml><?xml version="1.0" encoding="utf-8"?>
<sst xmlns="http://schemas.openxmlformats.org/spreadsheetml/2006/main" count="163" uniqueCount="38">
  <si>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</si>
  <si>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</si>
  <si>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</si>
  <si>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</si>
  <si>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</si>
  <si>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</si>
  <si>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</si>
  <si>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</si>
  <si>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</si>
  <si>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</si>
  <si>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</si>
  <si>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</si>
  <si>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</si>
  <si>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</si>
  <si>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</si>
  <si>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</si>
  <si>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</si>
  <si>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</si>
  <si>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</si>
  <si>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</si>
  <si>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</si>
  <si>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</si>
  <si>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</si>
  <si>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</si>
  <si>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</si>
  <si>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</si>
  <si>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</si>
  <si>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</si>
  <si>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</si>
  <si>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calculate values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</si>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</sst>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ِِAsus" refreshedDate="45066.644081597224" createdVersion="8" refreshedVersion="8" minRefreshableVersion="3" recordCount="49" xr:uid="{0D918139-005D-4F57-A93E-CFC10F8E41D8}">
  <cacheSource type="worksheet">
    <worksheetSource name="Table2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159E6-DF2D-441D-9390-CA86FA53C0A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D65A1-562C-4BCC-8FE0-70458CDF4BB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BA5C1-0B57-4D04-B7AC-61C9F1891B9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sd="0"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79CAF3-CFB0-44DD-A8B0-9C703F351764}" name="Table2" displayName="Table2" ref="A1:C50" totalsRowShown="0">
  <autoFilter ref="A1:C50" xr:uid="{B779CAF3-CFB0-44DD-A8B0-9C703F351764}"/>
  <tableColumns count="3">
    <tableColumn id="1" xr3:uid="{AD1D70AA-8B6A-4EA2-9AFD-57511B2D78E9}" name="Department"/>
    <tableColumn id="2" xr3:uid="{C72EB9BF-41B2-4DAE-9678-994990169CA1}" name="Equipment Class"/>
    <tableColumn id="3" xr3:uid="{60BE9925-B029-46D9-B8A1-FB2A0E4B8115}" name="Equipment Count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51960D-6FFE-41CB-9F04-4D53D29F7B4A}" name="Table4" displayName="Table4" ref="F4:G8" headerRowCount="0" totalsRowShown="0">
  <tableColumns count="2">
    <tableColumn id="1" xr3:uid="{12822212-2B9F-46A0-A31B-EEA3E19545FE}" name="Column1"/>
    <tableColumn id="2" xr3:uid="{BCC2AA5F-3E33-4D52-A45B-D1401B3E5DFA}" name="Column2"/>
  </tableColumns>
  <tableStyleInfo name="TableStyleLight5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zoomScale="130" zoomScaleNormal="130" workbookViewId="0">
      <selection activeCell="I5" sqref="I5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  <col min="5" max="5" width="15.140625" bestFit="1" customWidth="1"/>
    <col min="6" max="7" width="10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5</v>
      </c>
      <c r="B2" t="s">
        <v>6</v>
      </c>
      <c r="C2">
        <v>21</v>
      </c>
    </row>
    <row r="3" spans="1:7" x14ac:dyDescent="0.25">
      <c r="A3" t="s">
        <v>5</v>
      </c>
      <c r="B3" t="s">
        <v>7</v>
      </c>
      <c r="C3">
        <v>1</v>
      </c>
      <c r="E3" t="s">
        <v>29</v>
      </c>
    </row>
    <row r="4" spans="1:7" x14ac:dyDescent="0.25">
      <c r="A4" t="s">
        <v>5</v>
      </c>
      <c r="B4" t="s">
        <v>4</v>
      </c>
      <c r="C4">
        <v>23</v>
      </c>
      <c r="F4" t="s">
        <v>30</v>
      </c>
      <c r="G4">
        <f>SUM(Table2[Equipment Count])</f>
        <v>1582</v>
      </c>
    </row>
    <row r="5" spans="1:7" x14ac:dyDescent="0.25">
      <c r="A5" t="s">
        <v>8</v>
      </c>
      <c r="B5" t="s">
        <v>4</v>
      </c>
      <c r="C5">
        <v>2</v>
      </c>
      <c r="F5" t="s">
        <v>31</v>
      </c>
      <c r="G5">
        <f>AVERAGE(Table2[Equipment Count])</f>
        <v>32.285714285714285</v>
      </c>
    </row>
    <row r="6" spans="1:7" x14ac:dyDescent="0.25">
      <c r="A6" t="s">
        <v>9</v>
      </c>
      <c r="B6" t="s">
        <v>6</v>
      </c>
      <c r="C6">
        <v>3</v>
      </c>
      <c r="F6" t="s">
        <v>32</v>
      </c>
      <c r="G6">
        <f>MIN(Table2[Equipment Count])</f>
        <v>1</v>
      </c>
    </row>
    <row r="7" spans="1:7" x14ac:dyDescent="0.25">
      <c r="A7" t="s">
        <v>9</v>
      </c>
      <c r="B7" t="s">
        <v>10</v>
      </c>
      <c r="C7">
        <v>2</v>
      </c>
      <c r="F7" t="s">
        <v>33</v>
      </c>
      <c r="G7">
        <f>MAX(Table2[Equipment Count])</f>
        <v>379</v>
      </c>
    </row>
    <row r="8" spans="1:7" x14ac:dyDescent="0.25">
      <c r="A8" t="s">
        <v>9</v>
      </c>
      <c r="B8" t="s">
        <v>11</v>
      </c>
      <c r="C8">
        <v>1</v>
      </c>
      <c r="F8" t="s">
        <v>34</v>
      </c>
      <c r="G8">
        <f>COUNT(Table2[Equipment Count])</f>
        <v>49</v>
      </c>
    </row>
    <row r="9" spans="1:7" x14ac:dyDescent="0.25">
      <c r="A9" t="s">
        <v>12</v>
      </c>
      <c r="B9" t="s">
        <v>10</v>
      </c>
      <c r="C9">
        <v>2</v>
      </c>
    </row>
    <row r="10" spans="1:7" x14ac:dyDescent="0.25">
      <c r="A10" t="s">
        <v>12</v>
      </c>
      <c r="B10" t="s">
        <v>13</v>
      </c>
      <c r="C10">
        <v>42</v>
      </c>
    </row>
    <row r="11" spans="1:7" x14ac:dyDescent="0.25">
      <c r="A11" t="s">
        <v>12</v>
      </c>
      <c r="B11" t="s">
        <v>7</v>
      </c>
      <c r="C11">
        <v>1</v>
      </c>
    </row>
    <row r="12" spans="1:7" x14ac:dyDescent="0.25">
      <c r="A12" t="s">
        <v>12</v>
      </c>
      <c r="B12" t="s">
        <v>4</v>
      </c>
      <c r="C12">
        <v>11</v>
      </c>
    </row>
    <row r="13" spans="1:7" x14ac:dyDescent="0.25">
      <c r="A13" t="s">
        <v>14</v>
      </c>
      <c r="B13" t="s">
        <v>7</v>
      </c>
      <c r="C13">
        <v>1</v>
      </c>
    </row>
    <row r="14" spans="1:7" x14ac:dyDescent="0.25">
      <c r="A14" t="s">
        <v>15</v>
      </c>
      <c r="B14" t="s">
        <v>16</v>
      </c>
      <c r="C14">
        <v>9</v>
      </c>
    </row>
    <row r="15" spans="1:7" x14ac:dyDescent="0.25">
      <c r="A15" t="s">
        <v>15</v>
      </c>
      <c r="B15" t="s">
        <v>7</v>
      </c>
      <c r="C15">
        <v>27</v>
      </c>
    </row>
    <row r="16" spans="1:7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  <pageSetup paperSize="9" orientation="portrait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217A-E9C8-4C66-AF25-CF8B25FB6DEB}">
  <dimension ref="A3:B16"/>
  <sheetViews>
    <sheetView workbookViewId="0">
      <selection activeCell="B43" sqref="B43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1" t="s">
        <v>35</v>
      </c>
      <c r="B3" t="s">
        <v>37</v>
      </c>
    </row>
    <row r="4" spans="1:2" x14ac:dyDescent="0.25">
      <c r="A4" s="2" t="s">
        <v>26</v>
      </c>
      <c r="B4">
        <v>1221</v>
      </c>
    </row>
    <row r="5" spans="1:2" x14ac:dyDescent="0.25">
      <c r="A5" s="2" t="s">
        <v>15</v>
      </c>
      <c r="B5">
        <v>109</v>
      </c>
    </row>
    <row r="6" spans="1:2" x14ac:dyDescent="0.25">
      <c r="A6" s="2" t="s">
        <v>19</v>
      </c>
      <c r="B6">
        <v>85</v>
      </c>
    </row>
    <row r="7" spans="1:2" x14ac:dyDescent="0.25">
      <c r="A7" s="2" t="s">
        <v>12</v>
      </c>
      <c r="B7">
        <v>56</v>
      </c>
    </row>
    <row r="8" spans="1:2" x14ac:dyDescent="0.25">
      <c r="A8" s="2" t="s">
        <v>5</v>
      </c>
      <c r="B8">
        <v>45</v>
      </c>
    </row>
    <row r="9" spans="1:2" x14ac:dyDescent="0.25">
      <c r="A9" s="2" t="s">
        <v>18</v>
      </c>
      <c r="B9">
        <v>35</v>
      </c>
    </row>
    <row r="10" spans="1:2" x14ac:dyDescent="0.25">
      <c r="A10" s="2" t="s">
        <v>25</v>
      </c>
      <c r="B10">
        <v>16</v>
      </c>
    </row>
    <row r="11" spans="1:2" x14ac:dyDescent="0.25">
      <c r="A11" s="2" t="s">
        <v>9</v>
      </c>
      <c r="B11">
        <v>6</v>
      </c>
    </row>
    <row r="12" spans="1:2" x14ac:dyDescent="0.25">
      <c r="A12" s="2" t="s">
        <v>24</v>
      </c>
      <c r="B12">
        <v>5</v>
      </c>
    </row>
    <row r="13" spans="1:2" x14ac:dyDescent="0.25">
      <c r="A13" s="2" t="s">
        <v>8</v>
      </c>
      <c r="B13">
        <v>2</v>
      </c>
    </row>
    <row r="14" spans="1:2" x14ac:dyDescent="0.25">
      <c r="A14" s="2" t="s">
        <v>14</v>
      </c>
      <c r="B14">
        <v>1</v>
      </c>
    </row>
    <row r="15" spans="1:2" x14ac:dyDescent="0.25">
      <c r="A15" s="2" t="s">
        <v>17</v>
      </c>
      <c r="B15">
        <v>1</v>
      </c>
    </row>
    <row r="16" spans="1:2" x14ac:dyDescent="0.25">
      <c r="A16" s="2" t="s">
        <v>36</v>
      </c>
      <c r="B16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4DE0-C250-4613-88FB-777D252AE25B}">
  <dimension ref="A3:B25"/>
  <sheetViews>
    <sheetView workbookViewId="0">
      <selection activeCell="A12" sqref="A12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1" t="s">
        <v>35</v>
      </c>
      <c r="B3" t="s">
        <v>37</v>
      </c>
    </row>
    <row r="4" spans="1:2" x14ac:dyDescent="0.25">
      <c r="A4" s="2" t="s">
        <v>26</v>
      </c>
      <c r="B4">
        <v>1221</v>
      </c>
    </row>
    <row r="5" spans="1:2" x14ac:dyDescent="0.25">
      <c r="A5" s="3" t="s">
        <v>16</v>
      </c>
      <c r="B5">
        <v>5</v>
      </c>
    </row>
    <row r="6" spans="1:2" x14ac:dyDescent="0.25">
      <c r="A6" s="3" t="s">
        <v>13</v>
      </c>
      <c r="B6">
        <v>248</v>
      </c>
    </row>
    <row r="7" spans="1:2" x14ac:dyDescent="0.25">
      <c r="A7" s="3" t="s">
        <v>11</v>
      </c>
      <c r="B7">
        <v>98</v>
      </c>
    </row>
    <row r="8" spans="1:2" x14ac:dyDescent="0.25">
      <c r="A8" s="3" t="s">
        <v>28</v>
      </c>
      <c r="B8">
        <v>276</v>
      </c>
    </row>
    <row r="9" spans="1:2" x14ac:dyDescent="0.25">
      <c r="A9" s="3" t="s">
        <v>6</v>
      </c>
      <c r="B9">
        <v>93</v>
      </c>
    </row>
    <row r="10" spans="1:2" x14ac:dyDescent="0.25">
      <c r="A10" s="3" t="s">
        <v>4</v>
      </c>
      <c r="B10">
        <v>37</v>
      </c>
    </row>
    <row r="11" spans="1:2" x14ac:dyDescent="0.25">
      <c r="A11" s="3" t="s">
        <v>7</v>
      </c>
      <c r="B11">
        <v>53</v>
      </c>
    </row>
    <row r="12" spans="1:2" x14ac:dyDescent="0.25">
      <c r="A12" s="3" t="s">
        <v>27</v>
      </c>
      <c r="B12">
        <v>379</v>
      </c>
    </row>
    <row r="13" spans="1:2" x14ac:dyDescent="0.25">
      <c r="A13" s="3" t="s">
        <v>10</v>
      </c>
      <c r="B13">
        <v>32</v>
      </c>
    </row>
    <row r="14" spans="1:2" x14ac:dyDescent="0.25">
      <c r="A14" s="2" t="s">
        <v>15</v>
      </c>
      <c r="B14">
        <v>109</v>
      </c>
    </row>
    <row r="15" spans="1:2" x14ac:dyDescent="0.25">
      <c r="A15" s="2" t="s">
        <v>19</v>
      </c>
      <c r="B15">
        <v>85</v>
      </c>
    </row>
    <row r="16" spans="1:2" x14ac:dyDescent="0.25">
      <c r="A16" s="2" t="s">
        <v>12</v>
      </c>
      <c r="B16">
        <v>56</v>
      </c>
    </row>
    <row r="17" spans="1:2" x14ac:dyDescent="0.25">
      <c r="A17" s="2" t="s">
        <v>5</v>
      </c>
      <c r="B17">
        <v>45</v>
      </c>
    </row>
    <row r="18" spans="1:2" x14ac:dyDescent="0.25">
      <c r="A18" s="2" t="s">
        <v>18</v>
      </c>
      <c r="B18">
        <v>35</v>
      </c>
    </row>
    <row r="19" spans="1:2" x14ac:dyDescent="0.25">
      <c r="A19" s="2" t="s">
        <v>25</v>
      </c>
      <c r="B19">
        <v>16</v>
      </c>
    </row>
    <row r="20" spans="1:2" x14ac:dyDescent="0.25">
      <c r="A20" s="2" t="s">
        <v>9</v>
      </c>
      <c r="B20">
        <v>6</v>
      </c>
    </row>
    <row r="21" spans="1:2" x14ac:dyDescent="0.25">
      <c r="A21" s="2" t="s">
        <v>24</v>
      </c>
      <c r="B21">
        <v>5</v>
      </c>
    </row>
    <row r="22" spans="1:2" x14ac:dyDescent="0.25">
      <c r="A22" s="2" t="s">
        <v>8</v>
      </c>
      <c r="B22">
        <v>2</v>
      </c>
    </row>
    <row r="23" spans="1:2" x14ac:dyDescent="0.25">
      <c r="A23" s="2" t="s">
        <v>14</v>
      </c>
      <c r="B23">
        <v>1</v>
      </c>
    </row>
    <row r="24" spans="1:2" x14ac:dyDescent="0.25">
      <c r="A24" s="2" t="s">
        <v>17</v>
      </c>
      <c r="B24">
        <v>1</v>
      </c>
    </row>
    <row r="25" spans="1:2" x14ac:dyDescent="0.25">
      <c r="A25" s="2" t="s">
        <v>36</v>
      </c>
      <c r="B2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EFD2-5DD3-48F6-9375-515F7AA10F79}">
  <dimension ref="A3:B18"/>
  <sheetViews>
    <sheetView workbookViewId="0">
      <selection activeCell="I30" sqref="I30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1" t="s">
        <v>35</v>
      </c>
      <c r="B3" t="s">
        <v>37</v>
      </c>
    </row>
    <row r="4" spans="1:2" x14ac:dyDescent="0.25">
      <c r="A4" s="2" t="s">
        <v>16</v>
      </c>
      <c r="B4">
        <v>15</v>
      </c>
    </row>
    <row r="5" spans="1:2" x14ac:dyDescent="0.25">
      <c r="A5" s="2" t="s">
        <v>13</v>
      </c>
      <c r="B5">
        <v>290</v>
      </c>
    </row>
    <row r="6" spans="1:2" x14ac:dyDescent="0.25">
      <c r="A6" s="2" t="s">
        <v>11</v>
      </c>
      <c r="B6">
        <v>100</v>
      </c>
    </row>
    <row r="7" spans="1:2" x14ac:dyDescent="0.25">
      <c r="A7" s="2" t="s">
        <v>28</v>
      </c>
      <c r="B7">
        <v>283</v>
      </c>
    </row>
    <row r="8" spans="1:2" x14ac:dyDescent="0.25">
      <c r="A8" s="2" t="s">
        <v>6</v>
      </c>
      <c r="B8">
        <v>150</v>
      </c>
    </row>
    <row r="9" spans="1:2" x14ac:dyDescent="0.25">
      <c r="A9" s="2" t="s">
        <v>21</v>
      </c>
      <c r="B9">
        <v>4</v>
      </c>
    </row>
    <row r="10" spans="1:2" x14ac:dyDescent="0.25">
      <c r="A10" s="2" t="s">
        <v>23</v>
      </c>
      <c r="B10">
        <v>1</v>
      </c>
    </row>
    <row r="11" spans="1:2" x14ac:dyDescent="0.25">
      <c r="A11" s="2" t="s">
        <v>22</v>
      </c>
      <c r="B11">
        <v>47</v>
      </c>
    </row>
    <row r="12" spans="1:2" x14ac:dyDescent="0.25">
      <c r="A12" s="2" t="s">
        <v>3</v>
      </c>
      <c r="B12">
        <v>20</v>
      </c>
    </row>
    <row r="13" spans="1:2" x14ac:dyDescent="0.25">
      <c r="A13" s="2" t="s">
        <v>20</v>
      </c>
      <c r="B13">
        <v>8</v>
      </c>
    </row>
    <row r="14" spans="1:2" x14ac:dyDescent="0.25">
      <c r="A14" s="2" t="s">
        <v>4</v>
      </c>
      <c r="B14">
        <v>130</v>
      </c>
    </row>
    <row r="15" spans="1:2" x14ac:dyDescent="0.25">
      <c r="A15" s="2" t="s">
        <v>7</v>
      </c>
      <c r="B15">
        <v>90</v>
      </c>
    </row>
    <row r="16" spans="1:2" x14ac:dyDescent="0.25">
      <c r="A16" s="2" t="s">
        <v>27</v>
      </c>
      <c r="B16">
        <v>379</v>
      </c>
    </row>
    <row r="17" spans="1:2" x14ac:dyDescent="0.25">
      <c r="A17" s="2" t="s">
        <v>10</v>
      </c>
      <c r="B17">
        <v>65</v>
      </c>
    </row>
    <row r="18" spans="1:2" x14ac:dyDescent="0.25">
      <c r="A18" s="2" t="s">
        <v>36</v>
      </c>
      <c r="B18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PivotTable1</vt:lpstr>
      <vt:lpstr>PivotTable2</vt:lpstr>
      <vt:lpstr>PivotTable3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نوف</dc:creator>
  <cp:lastModifiedBy>ِِAsus</cp:lastModifiedBy>
  <dcterms:created xsi:type="dcterms:W3CDTF">2020-09-01T17:18:12Z</dcterms:created>
  <dcterms:modified xsi:type="dcterms:W3CDTF">2023-08-28T16:17:41Z</dcterms:modified>
</cp:coreProperties>
</file>